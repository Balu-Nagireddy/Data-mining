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360" yWindow="135" windowWidth="9555" windowHeight="7500"/>
  </bookViews>
  <sheets>
    <sheet name="Report Card" sheetId="1" r:id="rId1"/>
    <sheet name="Data" sheetId="2" r:id="rId2"/>
  </sheets>
  <calcPr calcId="125725"/>
</workbook>
</file>

<file path=xl/calcChain.xml><?xml version="1.0" encoding="utf-8"?>
<calcChain xmlns="http://schemas.openxmlformats.org/spreadsheetml/2006/main">
  <c r="F17" i="1"/>
  <c r="F14"/>
  <c r="G14" s="1"/>
  <c r="F15"/>
  <c r="F16"/>
  <c r="D18"/>
  <c r="F13" l="1"/>
  <c r="G13" s="1"/>
  <c r="G17"/>
  <c r="E18"/>
  <c r="F18" s="1"/>
  <c r="G18" s="1"/>
  <c r="G16"/>
  <c r="G15"/>
</calcChain>
</file>

<file path=xl/sharedStrings.xml><?xml version="1.0" encoding="utf-8"?>
<sst xmlns="http://schemas.openxmlformats.org/spreadsheetml/2006/main" count="50" uniqueCount="44">
  <si>
    <t xml:space="preserve">IT INTERNATIONAL SCHOOL </t>
  </si>
  <si>
    <t>PRIMARY RIGHT TO ALL….</t>
  </si>
  <si>
    <t>REPORT CARD</t>
  </si>
  <si>
    <t>Roll Number :</t>
  </si>
  <si>
    <t>Student Name :</t>
  </si>
  <si>
    <t>Class Standard :</t>
  </si>
  <si>
    <t xml:space="preserve">Date </t>
  </si>
  <si>
    <t>Sn.No</t>
  </si>
  <si>
    <t>Subject</t>
  </si>
  <si>
    <t>Total Marks</t>
  </si>
  <si>
    <t>Marks Obtained</t>
  </si>
  <si>
    <t>%</t>
  </si>
  <si>
    <t>Grade</t>
  </si>
  <si>
    <t>ENGLISH</t>
  </si>
  <si>
    <t>SCIENCE</t>
  </si>
  <si>
    <t>MATHEMATICS</t>
  </si>
  <si>
    <t>PHYSICS</t>
  </si>
  <si>
    <t>SOCIAL STUDIES</t>
  </si>
  <si>
    <t>TOTAL</t>
  </si>
  <si>
    <t>CRITERIA</t>
  </si>
  <si>
    <t>MARKS</t>
  </si>
  <si>
    <t>GRADE</t>
  </si>
  <si>
    <t>BELOW 35%</t>
  </si>
  <si>
    <t>A+</t>
  </si>
  <si>
    <t>A</t>
  </si>
  <si>
    <t>B</t>
  </si>
  <si>
    <t>C</t>
  </si>
  <si>
    <t>D</t>
  </si>
  <si>
    <t>FAIL</t>
  </si>
  <si>
    <t>PRINCIPLE</t>
  </si>
  <si>
    <t>CLASS TEACHER</t>
  </si>
  <si>
    <t>ROLL NO</t>
  </si>
  <si>
    <t>STUDENT NAME</t>
  </si>
  <si>
    <t>CLASS</t>
  </si>
  <si>
    <t>BALU</t>
  </si>
  <si>
    <t>JOHN</t>
  </si>
  <si>
    <t>JANAKI</t>
  </si>
  <si>
    <t>AMULYA</t>
  </si>
  <si>
    <t>RAVINDRA</t>
  </si>
  <si>
    <t>RAHUL</t>
  </si>
  <si>
    <t>ANUSHA</t>
  </si>
  <si>
    <t>ARADHYA</t>
  </si>
  <si>
    <t>LASYA</t>
  </si>
  <si>
    <t>KALYAN</t>
  </si>
</sst>
</file>

<file path=xl/styles.xml><?xml version="1.0" encoding="utf-8"?>
<styleSheet xmlns="http://schemas.openxmlformats.org/spreadsheetml/2006/main">
  <fonts count="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Arial"/>
      <family val="2"/>
    </font>
    <font>
      <sz val="11"/>
      <color theme="1"/>
      <name val="Brush Script MT"/>
      <family val="4"/>
    </font>
    <font>
      <b/>
      <sz val="14"/>
      <color theme="1"/>
      <name val="Bell MT"/>
      <family val="1"/>
    </font>
    <font>
      <b/>
      <sz val="12"/>
      <color theme="3" tint="-0.499984740745262"/>
      <name val="Calibri"/>
      <family val="2"/>
      <scheme val="minor"/>
    </font>
    <font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/>
    <xf numFmtId="0" fontId="6" fillId="3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9" fontId="0" fillId="0" borderId="0" xfId="1" applyFont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4" fontId="2" fillId="2" borderId="0" xfId="0" applyNumberFormat="1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Border="1" applyAlignment="1">
      <alignment horizontal="center"/>
    </xf>
    <xf numFmtId="0" fontId="2" fillId="0" borderId="0" xfId="0" applyNumberFormat="1" applyFont="1" applyBorder="1" applyAlignment="1">
      <alignment horizontal="center"/>
    </xf>
    <xf numFmtId="9" fontId="2" fillId="0" borderId="0" xfId="1" applyFont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</cellXfs>
  <cellStyles count="2">
    <cellStyle name="Normal" xfId="0" builtinId="0"/>
    <cellStyle name="Percent" xfId="1" builtinId="5"/>
  </cellStyles>
  <dxfs count="13">
    <dxf>
      <alignment horizontal="center" vertical="bottom" textRotation="0" wrapText="0" indent="0" relativeIndent="255" justifyLastLine="0" shrinkToFit="0" readingOrder="0"/>
    </dxf>
    <dxf>
      <numFmt numFmtId="13" formatCode="0%"/>
      <alignment horizontal="center" vertical="bottom" textRotation="0" wrapText="0" indent="0" relativeIndent="0" justifyLastLine="0" shrinkToFit="0" mergeCell="0" readingOrder="0"/>
    </dxf>
    <dxf>
      <numFmt numFmtId="0" formatCode="General"/>
      <alignment horizontal="center" vertical="bottom" textRotation="0" wrapText="0" indent="0" relativeIndent="255" justifyLastLine="0" shrinkToFit="0" mergeCell="0" readingOrder="0"/>
    </dxf>
    <dxf>
      <numFmt numFmtId="13" formatCode="0%"/>
      <alignment horizontal="center" vertical="bottom" textRotation="0" wrapText="0" indent="0" relativeIndent="0" justifyLastLine="0" shrinkToFit="0" mergeCell="0" readingOrder="0"/>
    </dxf>
    <dxf>
      <numFmt numFmtId="0" formatCode="General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3" tint="-0.499984740745262"/>
        <name val="Calibri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relativeIndent="0" justifyLastLine="0" shrinkToFit="0" mergeCell="0" readingOrder="0"/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1" displayName="Table1" ref="B12:G18" totalsRowShown="0" headerRowDxfId="9" dataDxfId="8">
  <autoFilter ref="B12:G18"/>
  <tableColumns count="6">
    <tableColumn id="1" name="Sn.No" dataDxfId="7"/>
    <tableColumn id="2" name="Subject" dataDxfId="6"/>
    <tableColumn id="3" name="Total Marks" dataDxfId="5"/>
    <tableColumn id="4" name="Marks Obtained" dataDxfId="4">
      <calculatedColumnFormula>SUM(E7:E12)</calculatedColumnFormula>
    </tableColumn>
    <tableColumn id="5" name="%" dataDxfId="3" dataCellStyle="Percent">
      <calculatedColumnFormula>Table1[[#This Row],[Marks Obtained]]/Table1[[#This Row],[Total Marks]]</calculatedColumnFormula>
    </tableColumn>
    <tableColumn id="6" name="Grade" dataDxfId="2">
      <calculatedColumnFormula>IF(Table1[[#This Row],[%]]&gt;=90%,"A+",IF(Table1[[#This Row],[%]]&gt;=75%,"A",IF(Table1[[#This Row],[%]]&gt;=60%,"B",IF(Table1[[#This Row],[%]]&gt;=50%,"C",IF(Table1[[#This Row],[%]]&gt;=35%,"D","FAIL")))))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Table3" displayName="Table3" ref="L2:M8" totalsRowShown="0">
  <autoFilter ref="L2:M8"/>
  <tableColumns count="2">
    <tableColumn id="1" name="MARKS" dataDxfId="1"/>
    <tableColumn id="2" name="GRADE" dataDxfId="0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B1:M24"/>
  <sheetViews>
    <sheetView showGridLines="0" tabSelected="1" workbookViewId="0">
      <selection activeCell="G8" sqref="G8"/>
    </sheetView>
  </sheetViews>
  <sheetFormatPr defaultRowHeight="15"/>
  <cols>
    <col min="1" max="1" width="5.28515625" customWidth="1"/>
    <col min="2" max="2" width="19.85546875" customWidth="1"/>
    <col min="3" max="3" width="27.7109375" customWidth="1"/>
    <col min="4" max="4" width="17.140625" bestFit="1" customWidth="1"/>
    <col min="5" max="5" width="21.42578125" bestFit="1" customWidth="1"/>
    <col min="6" max="6" width="10" customWidth="1"/>
    <col min="7" max="7" width="16.42578125" customWidth="1"/>
    <col min="12" max="12" width="12" style="1" bestFit="1" customWidth="1"/>
    <col min="13" max="13" width="9.42578125" style="1" bestFit="1" customWidth="1"/>
  </cols>
  <sheetData>
    <row r="1" spans="2:13" ht="26.25">
      <c r="B1" s="19" t="s">
        <v>0</v>
      </c>
      <c r="C1" s="19"/>
      <c r="D1" s="19"/>
      <c r="E1" s="19"/>
      <c r="F1" s="19"/>
      <c r="G1" s="19"/>
      <c r="L1" s="17" t="s">
        <v>19</v>
      </c>
      <c r="M1" s="17"/>
    </row>
    <row r="2" spans="2:13" ht="15.75">
      <c r="B2" s="20" t="s">
        <v>1</v>
      </c>
      <c r="C2" s="17"/>
      <c r="D2" s="17"/>
      <c r="E2" s="17"/>
      <c r="F2" s="17"/>
      <c r="G2" s="17"/>
      <c r="L2" s="1" t="s">
        <v>20</v>
      </c>
      <c r="M2" s="1" t="s">
        <v>21</v>
      </c>
    </row>
    <row r="3" spans="2:13">
      <c r="L3" s="8">
        <v>0.9</v>
      </c>
      <c r="M3" s="1" t="s">
        <v>23</v>
      </c>
    </row>
    <row r="4" spans="2:13" ht="19.5">
      <c r="B4" s="21" t="s">
        <v>2</v>
      </c>
      <c r="C4" s="22"/>
      <c r="D4" s="22"/>
      <c r="E4" s="22"/>
      <c r="F4" s="22"/>
      <c r="G4" s="22"/>
      <c r="L4" s="8">
        <v>0.75</v>
      </c>
      <c r="M4" s="1" t="s">
        <v>24</v>
      </c>
    </row>
    <row r="5" spans="2:13">
      <c r="L5" s="8">
        <v>0.6</v>
      </c>
      <c r="M5" s="1" t="s">
        <v>25</v>
      </c>
    </row>
    <row r="6" spans="2:13" ht="15.75">
      <c r="B6" s="3" t="s">
        <v>3</v>
      </c>
      <c r="C6" s="16">
        <v>4</v>
      </c>
      <c r="F6" s="3" t="s">
        <v>6</v>
      </c>
      <c r="G6" s="10">
        <v>45380</v>
      </c>
      <c r="L6" s="9">
        <v>0.5</v>
      </c>
      <c r="M6" s="1" t="s">
        <v>26</v>
      </c>
    </row>
    <row r="7" spans="2:13">
      <c r="L7" s="8">
        <v>0.35</v>
      </c>
      <c r="M7" s="1" t="s">
        <v>27</v>
      </c>
    </row>
    <row r="8" spans="2:13">
      <c r="B8" s="3" t="s">
        <v>4</v>
      </c>
      <c r="C8" s="11" t="s">
        <v>37</v>
      </c>
      <c r="L8" s="1" t="s">
        <v>22</v>
      </c>
      <c r="M8" s="1" t="s">
        <v>28</v>
      </c>
    </row>
    <row r="10" spans="2:13">
      <c r="B10" s="3" t="s">
        <v>5</v>
      </c>
      <c r="C10" s="11">
        <v>10</v>
      </c>
    </row>
    <row r="12" spans="2:13" s="5" customFormat="1" ht="15.75">
      <c r="B12" s="4" t="s">
        <v>7</v>
      </c>
      <c r="C12" s="4" t="s">
        <v>8</v>
      </c>
      <c r="D12" s="4" t="s">
        <v>9</v>
      </c>
      <c r="E12" s="4" t="s">
        <v>10</v>
      </c>
      <c r="F12" s="4" t="s">
        <v>11</v>
      </c>
      <c r="G12" s="4" t="s">
        <v>12</v>
      </c>
    </row>
    <row r="13" spans="2:13">
      <c r="B13" s="1">
        <v>1</v>
      </c>
      <c r="C13" s="1" t="s">
        <v>13</v>
      </c>
      <c r="D13" s="1">
        <v>100</v>
      </c>
      <c r="E13" s="6">
        <v>99</v>
      </c>
      <c r="F13" s="7">
        <f>Table1[[#This Row],[Marks Obtained]]/Table1[[#This Row],[Total Marks]]</f>
        <v>0.99</v>
      </c>
      <c r="G13" s="6" t="str">
        <f>IF(Table1[[#This Row],[%]]&gt;=90%,"A+",IF(Table1[[#This Row],[%]]&gt;=75%,"A",IF(Table1[[#This Row],[%]]&gt;=60%,"B",IF(Table1[[#This Row],[%]]&gt;=50%,"C",IF(Table1[[#This Row],[%]]&gt;=35%,"D","FAIL")))))</f>
        <v>A+</v>
      </c>
    </row>
    <row r="14" spans="2:13">
      <c r="B14" s="1">
        <v>2</v>
      </c>
      <c r="C14" s="1" t="s">
        <v>14</v>
      </c>
      <c r="D14" s="1">
        <v>100</v>
      </c>
      <c r="E14" s="6">
        <v>38</v>
      </c>
      <c r="F14" s="7">
        <f>Table1[[#This Row],[Marks Obtained]]/Table1[[#This Row],[Total Marks]]</f>
        <v>0.38</v>
      </c>
      <c r="G14" s="6" t="str">
        <f>IF(Table1[[#This Row],[%]]&gt;=90%,"A+",IF(Table1[[#This Row],[%]]&gt;=75%,"A",IF(Table1[[#This Row],[%]]&gt;=60%,"B",IF(Table1[[#This Row],[%]]&gt;=50%,"C",IF(Table1[[#This Row],[%]]&gt;=35%,"D","FAIL")))))</f>
        <v>D</v>
      </c>
    </row>
    <row r="15" spans="2:13">
      <c r="B15" s="1">
        <v>3</v>
      </c>
      <c r="C15" s="1" t="s">
        <v>15</v>
      </c>
      <c r="D15" s="1">
        <v>100</v>
      </c>
      <c r="E15" s="6">
        <v>89</v>
      </c>
      <c r="F15" s="7">
        <f>Table1[[#This Row],[Marks Obtained]]/Table1[[#This Row],[Total Marks]]</f>
        <v>0.89</v>
      </c>
      <c r="G15" s="6" t="str">
        <f>IF(Table1[[#This Row],[%]]&gt;=90%,"A+",IF(Table1[[#This Row],[%]]&gt;=75%,"A",IF(Table1[[#This Row],[%]]&gt;=60%,"B",IF(Table1[[#This Row],[%]]&gt;=50%,"C",IF(Table1[[#This Row],[%]]&gt;=35%,"D","FAIL")))))</f>
        <v>A</v>
      </c>
    </row>
    <row r="16" spans="2:13">
      <c r="B16" s="1">
        <v>4</v>
      </c>
      <c r="C16" s="1" t="s">
        <v>16</v>
      </c>
      <c r="D16" s="1">
        <v>100</v>
      </c>
      <c r="E16" s="6">
        <v>59</v>
      </c>
      <c r="F16" s="7">
        <f>Table1[[#This Row],[Marks Obtained]]/Table1[[#This Row],[Total Marks]]</f>
        <v>0.59</v>
      </c>
      <c r="G16" s="6" t="str">
        <f>IF(Table1[[#This Row],[%]]&gt;=90%,"A+",IF(Table1[[#This Row],[%]]&gt;=75%,"A",IF(Table1[[#This Row],[%]]&gt;=60%,"B",IF(Table1[[#This Row],[%]]&gt;=50%,"C",IF(Table1[[#This Row],[%]]&gt;=35%,"D","FAIL")))))</f>
        <v>C</v>
      </c>
    </row>
    <row r="17" spans="2:7">
      <c r="B17" s="2">
        <v>5</v>
      </c>
      <c r="C17" s="1" t="s">
        <v>17</v>
      </c>
      <c r="D17" s="1">
        <v>100</v>
      </c>
      <c r="E17" s="6">
        <v>50</v>
      </c>
      <c r="F17" s="7">
        <f>Table1[[#This Row],[Marks Obtained]]/Table1[[#This Row],[Total Marks]]</f>
        <v>0.5</v>
      </c>
      <c r="G17" s="6" t="str">
        <f>IF(Table1[[#This Row],[%]]&gt;=90%,"A+",IF(Table1[[#This Row],[%]]&gt;=75%,"A",IF(Table1[[#This Row],[%]]&gt;=60%,"B",IF(Table1[[#This Row],[%]]&gt;=50%,"C",IF(Table1[[#This Row],[%]]&gt;=35%,"D","FAIL")))))</f>
        <v>C</v>
      </c>
    </row>
    <row r="18" spans="2:7">
      <c r="B18" s="13"/>
      <c r="C18" s="13" t="s">
        <v>18</v>
      </c>
      <c r="D18" s="13">
        <f>SUM(D13:D17)</f>
        <v>500</v>
      </c>
      <c r="E18" s="14">
        <f>SUM(E13:E17)</f>
        <v>335</v>
      </c>
      <c r="F18" s="15">
        <f>Table1[[#This Row],[Marks Obtained]]/Table1[[#This Row],[Total Marks]]</f>
        <v>0.67</v>
      </c>
      <c r="G18" s="14" t="str">
        <f>IF(Table1[[#This Row],[%]]&gt;=90%,"A+",IF(Table1[[#This Row],[%]]&gt;=75%,"A",IF(Table1[[#This Row],[%]]&gt;=60%,"B",IF(Table1[[#This Row],[%]]&gt;=50%,"C",IF(Table1[[#This Row],[%]]&gt;=35%,"D","FAIL")))))</f>
        <v>B</v>
      </c>
    </row>
    <row r="24" spans="2:7">
      <c r="B24" s="18" t="s">
        <v>29</v>
      </c>
      <c r="C24" s="18"/>
      <c r="F24" s="18" t="s">
        <v>30</v>
      </c>
      <c r="G24" s="18"/>
    </row>
  </sheetData>
  <mergeCells count="6">
    <mergeCell ref="L1:M1"/>
    <mergeCell ref="B24:C24"/>
    <mergeCell ref="F24:G24"/>
    <mergeCell ref="B1:G1"/>
    <mergeCell ref="B2:G2"/>
    <mergeCell ref="B4:G4"/>
  </mergeCells>
  <conditionalFormatting sqref="F13:F18">
    <cfRule type="cellIs" dxfId="12" priority="1" operator="between">
      <formula>0.35</formula>
      <formula>0.89</formula>
    </cfRule>
    <cfRule type="cellIs" dxfId="11" priority="2" operator="lessThan">
      <formula>0.35</formula>
    </cfRule>
    <cfRule type="cellIs" dxfId="10" priority="3" operator="greaterThan">
      <formula>0.89</formula>
    </cfRule>
  </conditionalFormatting>
  <pageMargins left="0.70866141732283472" right="0.70866141732283472" top="0.74803149606299213" bottom="0.74803149606299213" header="0.31496062992125984" footer="0.31496062992125984"/>
  <pageSetup scale="51" orientation="portrait" r:id="rId1"/>
  <legacyDrawing r:id="rId2"/>
  <tableParts count="2">
    <tablePart r:id="rId3"/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H11"/>
  <sheetViews>
    <sheetView workbookViewId="0">
      <selection activeCell="A5" sqref="A5"/>
    </sheetView>
  </sheetViews>
  <sheetFormatPr defaultRowHeight="15"/>
  <cols>
    <col min="1" max="1" width="12" style="12" customWidth="1"/>
    <col min="2" max="2" width="20.42578125" style="12" customWidth="1"/>
    <col min="3" max="3" width="8.7109375" style="12" customWidth="1"/>
    <col min="4" max="4" width="12" style="12" customWidth="1"/>
    <col min="5" max="5" width="11.85546875" style="12" customWidth="1"/>
    <col min="6" max="6" width="17.85546875" style="12" customWidth="1"/>
    <col min="7" max="7" width="13.42578125" style="12" customWidth="1"/>
    <col min="8" max="8" width="16" style="12" customWidth="1"/>
    <col min="9" max="16384" width="9.140625" style="12"/>
  </cols>
  <sheetData>
    <row r="1" spans="1:8">
      <c r="A1" s="12" t="s">
        <v>31</v>
      </c>
      <c r="B1" s="12" t="s">
        <v>32</v>
      </c>
      <c r="C1" s="12" t="s">
        <v>33</v>
      </c>
      <c r="D1" s="12" t="s">
        <v>13</v>
      </c>
      <c r="E1" s="12" t="s">
        <v>14</v>
      </c>
      <c r="F1" s="12" t="s">
        <v>15</v>
      </c>
      <c r="G1" s="12" t="s">
        <v>16</v>
      </c>
      <c r="H1" s="12" t="s">
        <v>17</v>
      </c>
    </row>
    <row r="2" spans="1:8">
      <c r="A2" s="12">
        <v>1</v>
      </c>
      <c r="B2" s="12" t="s">
        <v>34</v>
      </c>
      <c r="C2" s="12">
        <v>5</v>
      </c>
      <c r="D2" s="12">
        <v>90</v>
      </c>
      <c r="E2" s="12">
        <v>77</v>
      </c>
      <c r="F2" s="12">
        <v>88</v>
      </c>
      <c r="G2" s="12">
        <v>69</v>
      </c>
      <c r="H2" s="12">
        <v>89</v>
      </c>
    </row>
    <row r="3" spans="1:8">
      <c r="A3" s="12">
        <v>2</v>
      </c>
      <c r="B3" s="12" t="s">
        <v>35</v>
      </c>
      <c r="C3" s="12">
        <v>7</v>
      </c>
      <c r="D3" s="12">
        <v>44</v>
      </c>
      <c r="E3" s="12">
        <v>55</v>
      </c>
      <c r="F3" s="12">
        <v>48</v>
      </c>
      <c r="G3" s="12">
        <v>33</v>
      </c>
      <c r="H3" s="12">
        <v>40</v>
      </c>
    </row>
    <row r="4" spans="1:8">
      <c r="A4" s="12">
        <v>3</v>
      </c>
      <c r="B4" s="12" t="s">
        <v>36</v>
      </c>
      <c r="C4" s="12">
        <v>2</v>
      </c>
      <c r="D4" s="12">
        <v>25</v>
      </c>
      <c r="E4" s="12">
        <v>82</v>
      </c>
      <c r="F4" s="12">
        <v>90</v>
      </c>
      <c r="G4" s="12">
        <v>40</v>
      </c>
      <c r="H4" s="12">
        <v>92</v>
      </c>
    </row>
    <row r="5" spans="1:8">
      <c r="A5" s="12">
        <v>4</v>
      </c>
      <c r="B5" s="12" t="s">
        <v>37</v>
      </c>
      <c r="C5" s="12">
        <v>10</v>
      </c>
      <c r="D5" s="12">
        <v>99</v>
      </c>
      <c r="E5" s="12">
        <v>38</v>
      </c>
      <c r="F5" s="12">
        <v>89</v>
      </c>
      <c r="G5" s="12">
        <v>59</v>
      </c>
      <c r="H5" s="12">
        <v>50</v>
      </c>
    </row>
    <row r="6" spans="1:8">
      <c r="A6" s="12">
        <v>5</v>
      </c>
      <c r="B6" s="12" t="s">
        <v>38</v>
      </c>
      <c r="C6" s="12">
        <v>4</v>
      </c>
      <c r="D6" s="12">
        <v>53</v>
      </c>
      <c r="E6" s="12">
        <v>79</v>
      </c>
      <c r="F6" s="12">
        <v>99</v>
      </c>
      <c r="G6" s="12">
        <v>64</v>
      </c>
      <c r="H6" s="12">
        <v>38</v>
      </c>
    </row>
    <row r="7" spans="1:8">
      <c r="A7" s="12">
        <v>6</v>
      </c>
      <c r="B7" s="12" t="s">
        <v>39</v>
      </c>
      <c r="C7" s="12">
        <v>6</v>
      </c>
      <c r="D7" s="12">
        <v>60</v>
      </c>
      <c r="E7" s="12">
        <v>90</v>
      </c>
      <c r="F7" s="12">
        <v>100</v>
      </c>
      <c r="G7" s="12">
        <v>83</v>
      </c>
      <c r="H7" s="12">
        <v>55</v>
      </c>
    </row>
    <row r="8" spans="1:8">
      <c r="A8" s="12">
        <v>7</v>
      </c>
      <c r="B8" s="12" t="s">
        <v>40</v>
      </c>
      <c r="C8" s="12">
        <v>7</v>
      </c>
      <c r="D8" s="12">
        <v>71</v>
      </c>
      <c r="E8" s="12">
        <v>33</v>
      </c>
      <c r="F8" s="12">
        <v>75</v>
      </c>
      <c r="G8" s="12">
        <v>61</v>
      </c>
      <c r="H8" s="12">
        <v>48</v>
      </c>
    </row>
    <row r="9" spans="1:8">
      <c r="A9" s="12">
        <v>8</v>
      </c>
      <c r="B9" s="12" t="s">
        <v>41</v>
      </c>
      <c r="C9" s="12">
        <v>7</v>
      </c>
      <c r="D9" s="12">
        <v>80</v>
      </c>
      <c r="E9" s="12">
        <v>67</v>
      </c>
      <c r="F9" s="12">
        <v>80</v>
      </c>
      <c r="G9" s="12">
        <v>45</v>
      </c>
      <c r="H9" s="12">
        <v>77</v>
      </c>
    </row>
    <row r="10" spans="1:8">
      <c r="A10" s="12">
        <v>9</v>
      </c>
      <c r="B10" s="12" t="s">
        <v>42</v>
      </c>
      <c r="C10" s="12">
        <v>10</v>
      </c>
      <c r="D10" s="12">
        <v>75</v>
      </c>
      <c r="E10" s="12">
        <v>20</v>
      </c>
      <c r="F10" s="12">
        <v>35</v>
      </c>
      <c r="G10" s="12">
        <v>30</v>
      </c>
      <c r="H10" s="12">
        <v>58</v>
      </c>
    </row>
    <row r="11" spans="1:8">
      <c r="A11" s="12">
        <v>10</v>
      </c>
      <c r="B11" s="12" t="s">
        <v>43</v>
      </c>
      <c r="C11" s="12">
        <v>9</v>
      </c>
      <c r="D11" s="12">
        <v>65</v>
      </c>
      <c r="E11" s="12">
        <v>72</v>
      </c>
      <c r="F11" s="12">
        <v>29</v>
      </c>
      <c r="G11" s="12">
        <v>76</v>
      </c>
      <c r="H11" s="12">
        <v>92</v>
      </c>
    </row>
  </sheetData>
  <dataConsolidate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Report Card</vt:lpstr>
      <vt:lpstr>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2024-03-29T16:15:27Z</cp:lastPrinted>
  <dcterms:created xsi:type="dcterms:W3CDTF">2024-03-29T04:29:16Z</dcterms:created>
  <dcterms:modified xsi:type="dcterms:W3CDTF">2024-03-29T17:01:54Z</dcterms:modified>
</cp:coreProperties>
</file>